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e\Downloads\"/>
    </mc:Choice>
  </mc:AlternateContent>
  <xr:revisionPtr revIDLastSave="0" documentId="8_{097DA7FA-FFB0-4DD6-996C-2B26AA2456BA}" xr6:coauthVersionLast="47" xr6:coauthVersionMax="47" xr10:uidLastSave="{00000000-0000-0000-0000-000000000000}"/>
  <bookViews>
    <workbookView xWindow="-28920" yWindow="-120" windowWidth="29040" windowHeight="15720" xr2:uid="{9F170C29-16B3-4A9A-A634-0813855179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6" i="1" l="1"/>
  <c r="S74" i="1"/>
  <c r="S72" i="1"/>
  <c r="S78" i="1"/>
  <c r="P72" i="1"/>
  <c r="F87" i="1"/>
  <c r="P76" i="1"/>
  <c r="P74" i="1"/>
  <c r="F65" i="1"/>
  <c r="S54" i="1" s="1"/>
  <c r="U54" i="1" s="1"/>
  <c r="P54" i="1"/>
  <c r="P52" i="1"/>
  <c r="P50" i="1"/>
  <c r="F43" i="1"/>
  <c r="P32" i="1"/>
  <c r="P30" i="1"/>
  <c r="P28" i="1"/>
  <c r="F21" i="1"/>
  <c r="I6" i="1"/>
  <c r="I10" i="1"/>
  <c r="I8" i="1"/>
  <c r="F10" i="1"/>
  <c r="F8" i="1"/>
  <c r="F6" i="1"/>
  <c r="U74" i="1" l="1"/>
  <c r="U76" i="1"/>
  <c r="U72" i="1"/>
  <c r="S50" i="1"/>
  <c r="U50" i="1" s="1"/>
  <c r="S52" i="1"/>
  <c r="U52" i="1" s="1"/>
  <c r="L10" i="1"/>
  <c r="N10" i="1" s="1"/>
  <c r="L6" i="1"/>
  <c r="N6" i="1" s="1"/>
  <c r="U28" i="1"/>
  <c r="L8" i="1"/>
  <c r="N8" i="1" s="1"/>
  <c r="U30" i="1"/>
  <c r="U32" i="1"/>
  <c r="U78" i="1" l="1"/>
  <c r="U56" i="1"/>
  <c r="S56" i="1"/>
</calcChain>
</file>

<file path=xl/sharedStrings.xml><?xml version="1.0" encoding="utf-8"?>
<sst xmlns="http://schemas.openxmlformats.org/spreadsheetml/2006/main" count="73" uniqueCount="31">
  <si>
    <t>Relevé des compteurs Primevères 8 A,B,C de 1er Septembre 2021 au 31 Août 2022</t>
  </si>
  <si>
    <t>Famille Rapuca</t>
  </si>
  <si>
    <t>Famille Huguenin</t>
  </si>
  <si>
    <t>Famille Gashi</t>
  </si>
  <si>
    <t>Compteur en chaufferie</t>
  </si>
  <si>
    <t>Pourcentage de répartition</t>
  </si>
  <si>
    <t>Montant facture n° 6'797'624 en TTC</t>
  </si>
  <si>
    <t>Montant facture n° 7'053'616 en TTC</t>
  </si>
  <si>
    <t>Montant total annuel</t>
  </si>
  <si>
    <t>Répartition  facture</t>
  </si>
  <si>
    <t>Montant total à payer par propriétaire</t>
  </si>
  <si>
    <t>Relevé compteur (en Mwh)</t>
  </si>
  <si>
    <t>CHF</t>
  </si>
  <si>
    <t>Répartition redevance fixe</t>
  </si>
  <si>
    <t>Montant facture n° 7'324'120 en TTC</t>
  </si>
  <si>
    <t>Montant facture n° 7'569'118 en TTC</t>
  </si>
  <si>
    <t>Relevé compteur (en Mwh) 2022</t>
  </si>
  <si>
    <t>Relevé compteur (en Mwh) 2023</t>
  </si>
  <si>
    <t>Calcul différenciel</t>
  </si>
  <si>
    <t>Pourcentage de répartition en 2023</t>
  </si>
  <si>
    <t>Relevé des compteurs Primevères 8 A,B,C de 1er Septembre 2022 au 31 Août 2023</t>
  </si>
  <si>
    <t>Relevé des compteurs Primevères 8 A,B,C de 1er Septembre 2023 au 31 Août 2024</t>
  </si>
  <si>
    <t>Relevé compteur (en Mwh) 2024</t>
  </si>
  <si>
    <t>Montant facture n° 7'841'402 en TTC</t>
  </si>
  <si>
    <t>Montant facture n° 8'094'659 en TTC</t>
  </si>
  <si>
    <t>Relevé des compteurs Primevères 8 A,B,C de 1er Septembre 2024 au 31 Août 2025</t>
  </si>
  <si>
    <t>Montant facture n° 8'347'772 en TTC</t>
  </si>
  <si>
    <t>Montant facture n° 8'582'670 en TTC</t>
  </si>
  <si>
    <t xml:space="preserve">Division facture M. Rapuca et M. Barras = </t>
  </si>
  <si>
    <t>M. Rapuca = 269 jours = (86,41/365)*269= 63,68,-</t>
  </si>
  <si>
    <t>M. Barras = 96 jours = (86,41,-/365)*96 = 22,72,-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</si>
</sst>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CHF&quot;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2" borderId="1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7" xfId="0" applyFill="1" applyBorder="1"/>
    <xf numFmtId="0" fontId="0" fillId="5" borderId="12" xfId="0" applyFill="1" applyBorder="1"/>
    <xf numFmtId="0" fontId="0" fillId="5" borderId="0" xfId="0" applyFill="1"/>
    <xf numFmtId="0" fontId="0" fillId="5" borderId="13" xfId="0" applyFill="1" applyBorder="1"/>
    <xf numFmtId="0" fontId="0" fillId="5" borderId="9" xfId="0" applyFill="1" applyBorder="1"/>
    <xf numFmtId="0" fontId="0" fillId="5" borderId="6" xfId="0" applyFill="1" applyBorder="1"/>
    <xf numFmtId="0" fontId="0" fillId="5" borderId="5" xfId="0" applyFill="1" applyBorder="1"/>
    <xf numFmtId="0" fontId="0" fillId="5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44A3-E92C-487F-B814-AE72D5055304}">
  <dimension ref="A2:W94"/>
  <sheetViews>
    <sheetView tabSelected="1" topLeftCell="A61" zoomScale="70" zoomScaleNormal="70" workbookViewId="0">
      <selection activeCell="J96" sqref="J96"/>
    </sheetView>
  </sheetViews>
  <sheetFormatPr baseColWidth="10" defaultRowHeight="15" x14ac:dyDescent="0.25"/>
  <cols>
    <col min="5" max="5" width="12.42578125" customWidth="1"/>
    <col min="12" max="12" width="11.85546875" bestFit="1" customWidth="1"/>
    <col min="14" max="14" width="11.85546875" bestFit="1" customWidth="1"/>
  </cols>
  <sheetData>
    <row r="2" spans="1:16" ht="15.75" thickBot="1" x14ac:dyDescent="0.3"/>
    <row r="3" spans="1:16" ht="15.75" thickBot="1" x14ac:dyDescent="0.3">
      <c r="A3" s="41" t="s">
        <v>0</v>
      </c>
      <c r="B3" s="42"/>
      <c r="C3" s="42"/>
      <c r="D3" s="42"/>
      <c r="E3" s="42"/>
      <c r="F3" s="42"/>
      <c r="G3" s="43"/>
    </row>
    <row r="4" spans="1:16" ht="15.75" thickBot="1" x14ac:dyDescent="0.3"/>
    <row r="5" spans="1:16" ht="15.75" thickBot="1" x14ac:dyDescent="0.3">
      <c r="D5" s="41" t="s">
        <v>11</v>
      </c>
      <c r="E5" s="43"/>
      <c r="F5" s="41" t="s">
        <v>5</v>
      </c>
      <c r="G5" s="42"/>
      <c r="H5" s="43"/>
      <c r="I5" s="41" t="s">
        <v>13</v>
      </c>
      <c r="J5" s="42"/>
      <c r="K5" s="43"/>
      <c r="L5" s="41" t="s">
        <v>9</v>
      </c>
      <c r="M5" s="43"/>
      <c r="N5" s="41" t="s">
        <v>10</v>
      </c>
      <c r="O5" s="42"/>
      <c r="P5" s="43"/>
    </row>
    <row r="6" spans="1:16" x14ac:dyDescent="0.25">
      <c r="A6" s="50" t="s">
        <v>1</v>
      </c>
      <c r="B6" s="51"/>
      <c r="C6" s="52"/>
      <c r="D6" s="16">
        <v>13.125999999999999</v>
      </c>
      <c r="E6" s="18"/>
      <c r="F6" s="23">
        <f>D6/D14</f>
        <v>0.34809589477034053</v>
      </c>
      <c r="G6" s="24"/>
      <c r="H6" s="25"/>
      <c r="I6" s="29">
        <f>I12/3</f>
        <v>43.080000000000005</v>
      </c>
      <c r="J6" s="30"/>
      <c r="K6" s="31"/>
      <c r="L6" s="29">
        <f>($F21-$I12)*F6</f>
        <v>1033.0441869099395</v>
      </c>
      <c r="M6" s="31"/>
      <c r="N6" s="35">
        <f>L6+I6</f>
        <v>1076.1241869099395</v>
      </c>
      <c r="O6" s="36"/>
      <c r="P6" s="37"/>
    </row>
    <row r="7" spans="1:16" ht="15.75" thickBot="1" x14ac:dyDescent="0.3">
      <c r="A7" s="53"/>
      <c r="B7" s="54"/>
      <c r="C7" s="55"/>
      <c r="D7" s="19"/>
      <c r="E7" s="21"/>
      <c r="F7" s="26"/>
      <c r="G7" s="27"/>
      <c r="H7" s="28"/>
      <c r="I7" s="32"/>
      <c r="J7" s="33"/>
      <c r="K7" s="34"/>
      <c r="L7" s="32"/>
      <c r="M7" s="34"/>
      <c r="N7" s="38"/>
      <c r="O7" s="39"/>
      <c r="P7" s="40"/>
    </row>
    <row r="8" spans="1:16" x14ac:dyDescent="0.25">
      <c r="A8" s="50" t="s">
        <v>2</v>
      </c>
      <c r="B8" s="51"/>
      <c r="C8" s="52"/>
      <c r="D8" s="16">
        <v>10.72</v>
      </c>
      <c r="E8" s="18"/>
      <c r="F8" s="23">
        <f>D8/D14</f>
        <v>0.28428980587673708</v>
      </c>
      <c r="G8" s="24"/>
      <c r="H8" s="25"/>
      <c r="I8" s="29">
        <f>I12/3</f>
        <v>43.080000000000005</v>
      </c>
      <c r="J8" s="30"/>
      <c r="K8" s="31"/>
      <c r="L8" s="29">
        <f>($F21-$I12)*F8</f>
        <v>843.68685690039263</v>
      </c>
      <c r="M8" s="31"/>
      <c r="N8" s="35">
        <f>L8+I8</f>
        <v>886.76685690039267</v>
      </c>
      <c r="O8" s="36"/>
      <c r="P8" s="37"/>
    </row>
    <row r="9" spans="1:16" ht="15.75" thickBot="1" x14ac:dyDescent="0.3">
      <c r="A9" s="53"/>
      <c r="B9" s="54"/>
      <c r="C9" s="55"/>
      <c r="D9" s="19"/>
      <c r="E9" s="21"/>
      <c r="F9" s="26"/>
      <c r="G9" s="27"/>
      <c r="H9" s="28"/>
      <c r="I9" s="32"/>
      <c r="J9" s="33"/>
      <c r="K9" s="34"/>
      <c r="L9" s="32"/>
      <c r="M9" s="34"/>
      <c r="N9" s="38"/>
      <c r="O9" s="39"/>
      <c r="P9" s="40"/>
    </row>
    <row r="10" spans="1:16" x14ac:dyDescent="0.25">
      <c r="A10" s="50" t="s">
        <v>3</v>
      </c>
      <c r="B10" s="51"/>
      <c r="C10" s="52"/>
      <c r="D10" s="16">
        <v>13.862</v>
      </c>
      <c r="E10" s="18"/>
      <c r="F10" s="23">
        <f>D10/D14</f>
        <v>0.3676142993529225</v>
      </c>
      <c r="G10" s="24"/>
      <c r="H10" s="25"/>
      <c r="I10" s="29">
        <f>I12/3</f>
        <v>43.080000000000005</v>
      </c>
      <c r="J10" s="30"/>
      <c r="K10" s="31"/>
      <c r="L10" s="29">
        <f>($F21-$I12)*F10</f>
        <v>1090.968956189668</v>
      </c>
      <c r="M10" s="31"/>
      <c r="N10" s="35">
        <f>L10+I10</f>
        <v>1134.0489561896679</v>
      </c>
      <c r="O10" s="36"/>
      <c r="P10" s="37"/>
    </row>
    <row r="11" spans="1:16" ht="15.75" thickBot="1" x14ac:dyDescent="0.3">
      <c r="A11" s="53"/>
      <c r="B11" s="54"/>
      <c r="C11" s="55"/>
      <c r="D11" s="19"/>
      <c r="E11" s="21"/>
      <c r="F11" s="26"/>
      <c r="G11" s="27"/>
      <c r="H11" s="28"/>
      <c r="I11" s="32"/>
      <c r="J11" s="33"/>
      <c r="K11" s="34"/>
      <c r="L11" s="32"/>
      <c r="M11" s="34"/>
      <c r="N11" s="38"/>
      <c r="O11" s="39"/>
      <c r="P11" s="40"/>
    </row>
    <row r="12" spans="1:16" ht="15.75" thickBot="1" x14ac:dyDescent="0.3">
      <c r="I12" s="14">
        <v>129.24</v>
      </c>
      <c r="J12" s="22"/>
      <c r="K12" s="15"/>
    </row>
    <row r="13" spans="1:16" ht="15.75" thickBot="1" x14ac:dyDescent="0.3"/>
    <row r="14" spans="1:16" ht="15.75" thickBot="1" x14ac:dyDescent="0.3">
      <c r="A14" s="41" t="s">
        <v>4</v>
      </c>
      <c r="B14" s="42"/>
      <c r="C14" s="43"/>
      <c r="D14" s="47">
        <v>37.707999999999998</v>
      </c>
      <c r="E14" s="49"/>
      <c r="F14" s="44">
        <v>1</v>
      </c>
      <c r="G14" s="45"/>
      <c r="H14" s="46"/>
    </row>
    <row r="17" spans="1:23" ht="15.75" thickBot="1" x14ac:dyDescent="0.3"/>
    <row r="18" spans="1:23" ht="15.75" thickBot="1" x14ac:dyDescent="0.3">
      <c r="A18" s="41" t="s">
        <v>6</v>
      </c>
      <c r="B18" s="42"/>
      <c r="C18" s="43"/>
      <c r="F18" s="3">
        <v>2016.75</v>
      </c>
      <c r="G18" s="1" t="s">
        <v>12</v>
      </c>
    </row>
    <row r="19" spans="1:23" ht="15.75" thickBot="1" x14ac:dyDescent="0.3">
      <c r="A19" s="41" t="s">
        <v>7</v>
      </c>
      <c r="B19" s="42"/>
      <c r="C19" s="43"/>
      <c r="F19" s="2">
        <v>1080.19</v>
      </c>
      <c r="G19" s="1" t="s">
        <v>12</v>
      </c>
    </row>
    <row r="20" spans="1:23" ht="15.75" thickBot="1" x14ac:dyDescent="0.3"/>
    <row r="21" spans="1:23" ht="15.75" thickBot="1" x14ac:dyDescent="0.3">
      <c r="A21" s="41" t="s">
        <v>8</v>
      </c>
      <c r="B21" s="42"/>
      <c r="C21" s="43"/>
      <c r="F21" s="4">
        <f>F18+F19</f>
        <v>3096.94</v>
      </c>
      <c r="G21" s="1" t="s">
        <v>12</v>
      </c>
    </row>
    <row r="24" spans="1:23" ht="15.75" thickBot="1" x14ac:dyDescent="0.3"/>
    <row r="25" spans="1:23" ht="15.75" thickBot="1" x14ac:dyDescent="0.3">
      <c r="A25" s="41" t="s">
        <v>20</v>
      </c>
      <c r="B25" s="42"/>
      <c r="C25" s="42"/>
      <c r="D25" s="42"/>
      <c r="E25" s="42"/>
      <c r="F25" s="42"/>
      <c r="G25" s="43"/>
    </row>
    <row r="26" spans="1:23" ht="15.75" thickBot="1" x14ac:dyDescent="0.3"/>
    <row r="27" spans="1:23" ht="15.75" thickBot="1" x14ac:dyDescent="0.3">
      <c r="D27" s="41" t="s">
        <v>16</v>
      </c>
      <c r="E27" s="42"/>
      <c r="F27" s="43"/>
      <c r="G27" s="41" t="s">
        <v>17</v>
      </c>
      <c r="H27" s="42"/>
      <c r="I27" s="43"/>
      <c r="J27" s="41" t="s">
        <v>18</v>
      </c>
      <c r="K27" s="42"/>
      <c r="L27" s="43"/>
      <c r="M27" s="41" t="s">
        <v>19</v>
      </c>
      <c r="N27" s="42"/>
      <c r="O27" s="43"/>
      <c r="P27" s="41" t="s">
        <v>13</v>
      </c>
      <c r="Q27" s="42"/>
      <c r="R27" s="43"/>
      <c r="S27" s="41" t="s">
        <v>9</v>
      </c>
      <c r="T27" s="43"/>
      <c r="U27" s="41" t="s">
        <v>10</v>
      </c>
      <c r="V27" s="42"/>
      <c r="W27" s="43"/>
    </row>
    <row r="28" spans="1:23" x14ac:dyDescent="0.25">
      <c r="A28" s="50" t="s">
        <v>1</v>
      </c>
      <c r="B28" s="51"/>
      <c r="C28" s="52"/>
      <c r="D28" s="16">
        <v>13.125999999999999</v>
      </c>
      <c r="E28" s="17"/>
      <c r="F28" s="18"/>
      <c r="G28" s="16">
        <v>25.052</v>
      </c>
      <c r="H28" s="17"/>
      <c r="I28" s="18"/>
      <c r="J28" s="16">
        <v>11.926</v>
      </c>
      <c r="K28" s="17"/>
      <c r="L28" s="18"/>
      <c r="M28" s="23">
        <v>0.35539999999999999</v>
      </c>
      <c r="N28" s="24"/>
      <c r="O28" s="25"/>
      <c r="P28" s="29">
        <f>P34/3</f>
        <v>43.080000000000005</v>
      </c>
      <c r="Q28" s="30"/>
      <c r="R28" s="31"/>
      <c r="S28" s="29">
        <v>1958.9</v>
      </c>
      <c r="T28" s="31"/>
      <c r="U28" s="35">
        <f>S28+P28</f>
        <v>2001.98</v>
      </c>
      <c r="V28" s="36"/>
      <c r="W28" s="37"/>
    </row>
    <row r="29" spans="1:23" ht="15.75" thickBot="1" x14ac:dyDescent="0.3">
      <c r="A29" s="53"/>
      <c r="B29" s="54"/>
      <c r="C29" s="55"/>
      <c r="D29" s="19"/>
      <c r="E29" s="20"/>
      <c r="F29" s="21"/>
      <c r="G29" s="19"/>
      <c r="H29" s="20"/>
      <c r="I29" s="21"/>
      <c r="J29" s="19"/>
      <c r="K29" s="20"/>
      <c r="L29" s="21"/>
      <c r="M29" s="26"/>
      <c r="N29" s="27"/>
      <c r="O29" s="28"/>
      <c r="P29" s="32"/>
      <c r="Q29" s="33"/>
      <c r="R29" s="34"/>
      <c r="S29" s="32"/>
      <c r="T29" s="34"/>
      <c r="U29" s="38"/>
      <c r="V29" s="39"/>
      <c r="W29" s="40"/>
    </row>
    <row r="30" spans="1:23" x14ac:dyDescent="0.25">
      <c r="A30" s="50" t="s">
        <v>2</v>
      </c>
      <c r="B30" s="51"/>
      <c r="C30" s="52"/>
      <c r="D30" s="16">
        <v>10.72</v>
      </c>
      <c r="E30" s="17"/>
      <c r="F30" s="18"/>
      <c r="G30" s="16">
        <v>22.962</v>
      </c>
      <c r="H30" s="17"/>
      <c r="I30" s="18"/>
      <c r="J30" s="16">
        <v>12.242000000000001</v>
      </c>
      <c r="K30" s="17"/>
      <c r="L30" s="18"/>
      <c r="M30" s="23">
        <v>0.36488999999999999</v>
      </c>
      <c r="N30" s="24"/>
      <c r="O30" s="25"/>
      <c r="P30" s="29">
        <f>P34/3</f>
        <v>43.080000000000005</v>
      </c>
      <c r="Q30" s="30"/>
      <c r="R30" s="31"/>
      <c r="S30" s="29">
        <v>2011.26</v>
      </c>
      <c r="T30" s="31"/>
      <c r="U30" s="35">
        <f>S30+P30</f>
        <v>2054.34</v>
      </c>
      <c r="V30" s="36"/>
      <c r="W30" s="37"/>
    </row>
    <row r="31" spans="1:23" ht="15.75" thickBot="1" x14ac:dyDescent="0.3">
      <c r="A31" s="53"/>
      <c r="B31" s="54"/>
      <c r="C31" s="55"/>
      <c r="D31" s="19"/>
      <c r="E31" s="20"/>
      <c r="F31" s="21"/>
      <c r="G31" s="19"/>
      <c r="H31" s="20"/>
      <c r="I31" s="21"/>
      <c r="J31" s="19"/>
      <c r="K31" s="20"/>
      <c r="L31" s="21"/>
      <c r="M31" s="26"/>
      <c r="N31" s="27"/>
      <c r="O31" s="28"/>
      <c r="P31" s="32"/>
      <c r="Q31" s="33"/>
      <c r="R31" s="34"/>
      <c r="S31" s="32"/>
      <c r="T31" s="34"/>
      <c r="U31" s="38"/>
      <c r="V31" s="39"/>
      <c r="W31" s="40"/>
    </row>
    <row r="32" spans="1:23" x14ac:dyDescent="0.25">
      <c r="A32" s="50" t="s">
        <v>3</v>
      </c>
      <c r="B32" s="51"/>
      <c r="C32" s="52"/>
      <c r="D32" s="16">
        <v>13.862</v>
      </c>
      <c r="E32" s="17"/>
      <c r="F32" s="18"/>
      <c r="G32" s="16">
        <v>23.244</v>
      </c>
      <c r="H32" s="17"/>
      <c r="I32" s="18"/>
      <c r="J32" s="16">
        <v>9.3819999999999997</v>
      </c>
      <c r="K32" s="17"/>
      <c r="L32" s="18"/>
      <c r="M32" s="23">
        <v>0.27965000000000001</v>
      </c>
      <c r="N32" s="24"/>
      <c r="O32" s="25"/>
      <c r="P32" s="29">
        <f>P34/3</f>
        <v>43.080000000000005</v>
      </c>
      <c r="Q32" s="30"/>
      <c r="R32" s="31"/>
      <c r="S32" s="29">
        <v>1541.66</v>
      </c>
      <c r="T32" s="31"/>
      <c r="U32" s="35">
        <f>S32+P32</f>
        <v>1584.74</v>
      </c>
      <c r="V32" s="36"/>
      <c r="W32" s="37"/>
    </row>
    <row r="33" spans="1:23" ht="15.75" thickBot="1" x14ac:dyDescent="0.3">
      <c r="A33" s="53"/>
      <c r="B33" s="54"/>
      <c r="C33" s="55"/>
      <c r="D33" s="19"/>
      <c r="E33" s="20"/>
      <c r="F33" s="21"/>
      <c r="G33" s="19"/>
      <c r="H33" s="20"/>
      <c r="I33" s="21"/>
      <c r="J33" s="19"/>
      <c r="K33" s="20"/>
      <c r="L33" s="21"/>
      <c r="M33" s="26"/>
      <c r="N33" s="27"/>
      <c r="O33" s="28"/>
      <c r="P33" s="32"/>
      <c r="Q33" s="33"/>
      <c r="R33" s="34"/>
      <c r="S33" s="32"/>
      <c r="T33" s="34"/>
      <c r="U33" s="38"/>
      <c r="V33" s="39"/>
      <c r="W33" s="40"/>
    </row>
    <row r="34" spans="1:23" ht="15.75" thickBot="1" x14ac:dyDescent="0.3">
      <c r="P34" s="14">
        <v>129.24</v>
      </c>
      <c r="Q34" s="22"/>
      <c r="R34" s="15"/>
      <c r="S34" s="14">
        <v>5511.82</v>
      </c>
      <c r="T34" s="15"/>
      <c r="U34" s="14">
        <v>5641.06</v>
      </c>
      <c r="V34" s="22"/>
      <c r="W34" s="15"/>
    </row>
    <row r="35" spans="1:23" ht="15.75" thickBot="1" x14ac:dyDescent="0.3"/>
    <row r="36" spans="1:23" ht="15.75" thickBot="1" x14ac:dyDescent="0.3">
      <c r="A36" s="41" t="s">
        <v>4</v>
      </c>
      <c r="B36" s="42"/>
      <c r="C36" s="43"/>
      <c r="D36" s="47">
        <v>37.707999999999998</v>
      </c>
      <c r="E36" s="48"/>
      <c r="F36" s="49"/>
      <c r="G36" s="47">
        <v>71.257999999999996</v>
      </c>
      <c r="H36" s="48"/>
      <c r="I36" s="49"/>
      <c r="J36" s="47">
        <v>33.549999999999997</v>
      </c>
      <c r="K36" s="48"/>
      <c r="L36" s="49"/>
      <c r="M36" s="44">
        <v>1</v>
      </c>
      <c r="N36" s="45"/>
      <c r="O36" s="46"/>
    </row>
    <row r="39" spans="1:23" ht="15.75" thickBot="1" x14ac:dyDescent="0.3"/>
    <row r="40" spans="1:23" ht="15.75" thickBot="1" x14ac:dyDescent="0.3">
      <c r="A40" s="41" t="s">
        <v>14</v>
      </c>
      <c r="B40" s="42"/>
      <c r="C40" s="43"/>
      <c r="F40" s="3">
        <v>1671.59</v>
      </c>
      <c r="G40" s="1" t="s">
        <v>12</v>
      </c>
    </row>
    <row r="41" spans="1:23" ht="15.75" thickBot="1" x14ac:dyDescent="0.3">
      <c r="A41" s="41" t="s">
        <v>15</v>
      </c>
      <c r="B41" s="42"/>
      <c r="C41" s="43"/>
      <c r="F41" s="2">
        <v>3969.47</v>
      </c>
      <c r="G41" s="1" t="s">
        <v>12</v>
      </c>
    </row>
    <row r="42" spans="1:23" ht="15.75" thickBot="1" x14ac:dyDescent="0.3"/>
    <row r="43" spans="1:23" ht="15.75" thickBot="1" x14ac:dyDescent="0.3">
      <c r="A43" s="41" t="s">
        <v>8</v>
      </c>
      <c r="B43" s="42"/>
      <c r="C43" s="43"/>
      <c r="F43" s="4">
        <f>F40+F41</f>
        <v>5641.0599999999995</v>
      </c>
      <c r="G43" s="1" t="s">
        <v>12</v>
      </c>
    </row>
    <row r="46" spans="1:23" ht="15.75" thickBot="1" x14ac:dyDescent="0.3"/>
    <row r="47" spans="1:23" ht="15.75" thickBot="1" x14ac:dyDescent="0.3">
      <c r="A47" s="41" t="s">
        <v>21</v>
      </c>
      <c r="B47" s="42"/>
      <c r="C47" s="42"/>
      <c r="D47" s="42"/>
      <c r="E47" s="42"/>
      <c r="F47" s="42"/>
      <c r="G47" s="43"/>
    </row>
    <row r="48" spans="1:23" ht="15.75" thickBot="1" x14ac:dyDescent="0.3"/>
    <row r="49" spans="1:23" ht="15.75" thickBot="1" x14ac:dyDescent="0.3">
      <c r="D49" s="41" t="s">
        <v>17</v>
      </c>
      <c r="E49" s="42"/>
      <c r="F49" s="43"/>
      <c r="G49" s="41" t="s">
        <v>22</v>
      </c>
      <c r="H49" s="42"/>
      <c r="I49" s="43"/>
      <c r="J49" s="41" t="s">
        <v>18</v>
      </c>
      <c r="K49" s="42"/>
      <c r="L49" s="43"/>
      <c r="M49" s="41" t="s">
        <v>19</v>
      </c>
      <c r="N49" s="42"/>
      <c r="O49" s="43"/>
      <c r="P49" s="41" t="s">
        <v>13</v>
      </c>
      <c r="Q49" s="42"/>
      <c r="R49" s="43"/>
      <c r="S49" s="41" t="s">
        <v>9</v>
      </c>
      <c r="T49" s="43"/>
      <c r="U49" s="41" t="s">
        <v>10</v>
      </c>
      <c r="V49" s="42"/>
      <c r="W49" s="43"/>
    </row>
    <row r="50" spans="1:23" x14ac:dyDescent="0.25">
      <c r="A50" s="50" t="s">
        <v>1</v>
      </c>
      <c r="B50" s="51"/>
      <c r="C50" s="52"/>
      <c r="D50" s="16">
        <v>25.052</v>
      </c>
      <c r="E50" s="17"/>
      <c r="F50" s="18"/>
      <c r="G50" s="16">
        <v>37.113999999999997</v>
      </c>
      <c r="H50" s="17"/>
      <c r="I50" s="18"/>
      <c r="J50" s="16">
        <v>12.061999999999999</v>
      </c>
      <c r="K50" s="17"/>
      <c r="L50" s="18"/>
      <c r="M50" s="23">
        <v>0.3841</v>
      </c>
      <c r="N50" s="24"/>
      <c r="O50" s="25"/>
      <c r="P50" s="29">
        <f>P56/3</f>
        <v>43.080000000000005</v>
      </c>
      <c r="Q50" s="30"/>
      <c r="R50" s="31"/>
      <c r="S50" s="29">
        <f>SUM(F65*M50)-P50</f>
        <v>4398.6677640000007</v>
      </c>
      <c r="T50" s="31"/>
      <c r="U50" s="35">
        <f>SUM(S50+P50)</f>
        <v>4441.7477640000006</v>
      </c>
      <c r="V50" s="36"/>
      <c r="W50" s="37"/>
    </row>
    <row r="51" spans="1:23" ht="15.75" thickBot="1" x14ac:dyDescent="0.3">
      <c r="A51" s="53"/>
      <c r="B51" s="54"/>
      <c r="C51" s="55"/>
      <c r="D51" s="19"/>
      <c r="E51" s="20"/>
      <c r="F51" s="21"/>
      <c r="G51" s="19"/>
      <c r="H51" s="20"/>
      <c r="I51" s="21"/>
      <c r="J51" s="19"/>
      <c r="K51" s="20"/>
      <c r="L51" s="21"/>
      <c r="M51" s="26"/>
      <c r="N51" s="27"/>
      <c r="O51" s="28"/>
      <c r="P51" s="32"/>
      <c r="Q51" s="33"/>
      <c r="R51" s="34"/>
      <c r="S51" s="32"/>
      <c r="T51" s="34"/>
      <c r="U51" s="38"/>
      <c r="V51" s="39"/>
      <c r="W51" s="40"/>
    </row>
    <row r="52" spans="1:23" x14ac:dyDescent="0.25">
      <c r="A52" s="50" t="s">
        <v>2</v>
      </c>
      <c r="B52" s="51"/>
      <c r="C52" s="52"/>
      <c r="D52" s="16">
        <v>22.962</v>
      </c>
      <c r="E52" s="17"/>
      <c r="F52" s="18"/>
      <c r="G52" s="16">
        <v>32.892000000000003</v>
      </c>
      <c r="H52" s="17"/>
      <c r="I52" s="18"/>
      <c r="J52" s="16">
        <v>9.93</v>
      </c>
      <c r="K52" s="17"/>
      <c r="L52" s="18"/>
      <c r="M52" s="23">
        <v>0.31619999999999998</v>
      </c>
      <c r="N52" s="24"/>
      <c r="O52" s="25"/>
      <c r="P52" s="29">
        <f>P56/3</f>
        <v>43.080000000000005</v>
      </c>
      <c r="Q52" s="30"/>
      <c r="R52" s="31"/>
      <c r="S52" s="29">
        <f>SUM(F65*M52)-P52</f>
        <v>3613.4694480000003</v>
      </c>
      <c r="T52" s="31"/>
      <c r="U52" s="35">
        <f t="shared" ref="U52" si="0">SUM(S52+P52)</f>
        <v>3656.5494480000002</v>
      </c>
      <c r="V52" s="36"/>
      <c r="W52" s="37"/>
    </row>
    <row r="53" spans="1:23" ht="15.75" thickBot="1" x14ac:dyDescent="0.3">
      <c r="A53" s="53"/>
      <c r="B53" s="54"/>
      <c r="C53" s="55"/>
      <c r="D53" s="19"/>
      <c r="E53" s="20"/>
      <c r="F53" s="21"/>
      <c r="G53" s="19"/>
      <c r="H53" s="20"/>
      <c r="I53" s="21"/>
      <c r="J53" s="19"/>
      <c r="K53" s="20"/>
      <c r="L53" s="21"/>
      <c r="M53" s="26"/>
      <c r="N53" s="27"/>
      <c r="O53" s="28"/>
      <c r="P53" s="32"/>
      <c r="Q53" s="33"/>
      <c r="R53" s="34"/>
      <c r="S53" s="32"/>
      <c r="T53" s="34"/>
      <c r="U53" s="38"/>
      <c r="V53" s="39"/>
      <c r="W53" s="40"/>
    </row>
    <row r="54" spans="1:23" x14ac:dyDescent="0.25">
      <c r="A54" s="50" t="s">
        <v>3</v>
      </c>
      <c r="B54" s="51"/>
      <c r="C54" s="52"/>
      <c r="D54" s="16">
        <v>23.244</v>
      </c>
      <c r="E54" s="17"/>
      <c r="F54" s="18"/>
      <c r="G54" s="16">
        <v>32.654000000000003</v>
      </c>
      <c r="H54" s="17"/>
      <c r="I54" s="18"/>
      <c r="J54" s="16">
        <v>9.41</v>
      </c>
      <c r="K54" s="17"/>
      <c r="L54" s="18"/>
      <c r="M54" s="23">
        <v>0.29970000000000002</v>
      </c>
      <c r="N54" s="24"/>
      <c r="O54" s="25"/>
      <c r="P54" s="29">
        <f>P56/3</f>
        <v>43.080000000000005</v>
      </c>
      <c r="Q54" s="30"/>
      <c r="R54" s="31"/>
      <c r="S54" s="29">
        <f>SUM(F65*M54)-P54</f>
        <v>3422.6627880000005</v>
      </c>
      <c r="T54" s="31"/>
      <c r="U54" s="35">
        <f t="shared" ref="U54" si="1">SUM(S54+P54)</f>
        <v>3465.7427880000005</v>
      </c>
      <c r="V54" s="36"/>
      <c r="W54" s="37"/>
    </row>
    <row r="55" spans="1:23" ht="15.75" thickBot="1" x14ac:dyDescent="0.3">
      <c r="A55" s="53"/>
      <c r="B55" s="54"/>
      <c r="C55" s="55"/>
      <c r="D55" s="19"/>
      <c r="E55" s="20"/>
      <c r="F55" s="21"/>
      <c r="G55" s="19"/>
      <c r="H55" s="20"/>
      <c r="I55" s="21"/>
      <c r="J55" s="19"/>
      <c r="K55" s="20"/>
      <c r="L55" s="21"/>
      <c r="M55" s="26"/>
      <c r="N55" s="27"/>
      <c r="O55" s="28"/>
      <c r="P55" s="32"/>
      <c r="Q55" s="33"/>
      <c r="R55" s="34"/>
      <c r="S55" s="32"/>
      <c r="T55" s="34"/>
      <c r="U55" s="38"/>
      <c r="V55" s="39"/>
      <c r="W55" s="40"/>
    </row>
    <row r="56" spans="1:23" ht="15.75" thickBot="1" x14ac:dyDescent="0.3">
      <c r="P56" s="14">
        <v>129.24</v>
      </c>
      <c r="Q56" s="22"/>
      <c r="R56" s="15"/>
      <c r="S56" s="14">
        <f>SUM(S50:T55)</f>
        <v>11434.800000000003</v>
      </c>
      <c r="T56" s="15"/>
      <c r="U56" s="14">
        <f>SUM(U50:W55)</f>
        <v>11564.04</v>
      </c>
      <c r="V56" s="22"/>
      <c r="W56" s="15"/>
    </row>
    <row r="57" spans="1:23" ht="15.75" thickBot="1" x14ac:dyDescent="0.3"/>
    <row r="58" spans="1:23" ht="15.75" thickBot="1" x14ac:dyDescent="0.3">
      <c r="A58" s="41" t="s">
        <v>4</v>
      </c>
      <c r="B58" s="42"/>
      <c r="C58" s="43"/>
      <c r="D58" s="47">
        <v>71.257999999999996</v>
      </c>
      <c r="E58" s="48"/>
      <c r="F58" s="49"/>
      <c r="G58" s="47">
        <v>102.66</v>
      </c>
      <c r="H58" s="48"/>
      <c r="I58" s="49"/>
      <c r="J58" s="47">
        <v>31.402000000000001</v>
      </c>
      <c r="K58" s="48"/>
      <c r="L58" s="49"/>
      <c r="M58" s="44">
        <v>1</v>
      </c>
      <c r="N58" s="45"/>
      <c r="O58" s="46"/>
    </row>
    <row r="61" spans="1:23" ht="15.75" thickBot="1" x14ac:dyDescent="0.3"/>
    <row r="62" spans="1:23" ht="15.75" thickBot="1" x14ac:dyDescent="0.3">
      <c r="A62" s="41" t="s">
        <v>23</v>
      </c>
      <c r="B62" s="42"/>
      <c r="C62" s="43"/>
      <c r="F62" s="3">
        <v>6311.87</v>
      </c>
      <c r="G62" s="1" t="s">
        <v>12</v>
      </c>
    </row>
    <row r="63" spans="1:23" ht="15.75" thickBot="1" x14ac:dyDescent="0.3">
      <c r="A63" s="41" t="s">
        <v>24</v>
      </c>
      <c r="B63" s="42"/>
      <c r="C63" s="43"/>
      <c r="F63" s="2">
        <v>5252.17</v>
      </c>
      <c r="G63" s="1" t="s">
        <v>12</v>
      </c>
    </row>
    <row r="64" spans="1:23" ht="15.75" thickBot="1" x14ac:dyDescent="0.3"/>
    <row r="65" spans="1:23" ht="15.75" thickBot="1" x14ac:dyDescent="0.3">
      <c r="A65" s="41" t="s">
        <v>8</v>
      </c>
      <c r="B65" s="42"/>
      <c r="C65" s="43"/>
      <c r="F65" s="4">
        <f>SUM(F62:F63)</f>
        <v>11564.04</v>
      </c>
      <c r="G65" s="1" t="s">
        <v>12</v>
      </c>
    </row>
    <row r="68" spans="1:23" ht="15.75" thickBot="1" x14ac:dyDescent="0.3"/>
    <row r="69" spans="1:23" ht="15.75" thickBot="1" x14ac:dyDescent="0.3">
      <c r="A69" s="41" t="s">
        <v>25</v>
      </c>
      <c r="B69" s="42"/>
      <c r="C69" s="42"/>
      <c r="D69" s="42"/>
      <c r="E69" s="42"/>
      <c r="F69" s="42"/>
      <c r="G69" s="43"/>
    </row>
    <row r="70" spans="1:23" ht="15.75" thickBot="1" x14ac:dyDescent="0.3"/>
    <row r="71" spans="1:23" ht="15.75" thickBot="1" x14ac:dyDescent="0.3">
      <c r="D71" s="41" t="s">
        <v>22</v>
      </c>
      <c r="E71" s="42"/>
      <c r="F71" s="43"/>
      <c r="G71" s="41" t="s">
        <v>22</v>
      </c>
      <c r="H71" s="42"/>
      <c r="I71" s="43"/>
      <c r="J71" s="41" t="s">
        <v>18</v>
      </c>
      <c r="K71" s="42"/>
      <c r="L71" s="43"/>
      <c r="M71" s="41" t="s">
        <v>19</v>
      </c>
      <c r="N71" s="42"/>
      <c r="O71" s="43"/>
      <c r="P71" s="41" t="s">
        <v>13</v>
      </c>
      <c r="Q71" s="42"/>
      <c r="R71" s="43"/>
      <c r="S71" s="41" t="s">
        <v>9</v>
      </c>
      <c r="T71" s="43"/>
      <c r="U71" s="41" t="s">
        <v>10</v>
      </c>
      <c r="V71" s="42"/>
      <c r="W71" s="43"/>
    </row>
    <row r="72" spans="1:23" x14ac:dyDescent="0.25">
      <c r="A72" s="50" t="s">
        <v>1</v>
      </c>
      <c r="B72" s="51"/>
      <c r="C72" s="52"/>
      <c r="D72" s="16">
        <v>37.113999999999997</v>
      </c>
      <c r="E72" s="17"/>
      <c r="F72" s="18"/>
      <c r="G72" s="16">
        <v>37.238</v>
      </c>
      <c r="H72" s="17"/>
      <c r="I72" s="18"/>
      <c r="J72" s="16">
        <v>0.124</v>
      </c>
      <c r="K72" s="17"/>
      <c r="L72" s="18"/>
      <c r="M72" s="23">
        <v>4.4999999999999997E-3</v>
      </c>
      <c r="N72" s="24"/>
      <c r="O72" s="25"/>
      <c r="P72" s="29">
        <f>P78/3</f>
        <v>57.653333333333336</v>
      </c>
      <c r="Q72" s="30"/>
      <c r="R72" s="31"/>
      <c r="S72" s="29">
        <f>SUM(S78*M72)</f>
        <v>28.755990000000001</v>
      </c>
      <c r="T72" s="31"/>
      <c r="U72" s="35">
        <f>SUM(S72+P72)</f>
        <v>86.409323333333333</v>
      </c>
      <c r="V72" s="36"/>
      <c r="W72" s="37"/>
    </row>
    <row r="73" spans="1:23" ht="15.75" thickBot="1" x14ac:dyDescent="0.3">
      <c r="A73" s="53"/>
      <c r="B73" s="54"/>
      <c r="C73" s="55"/>
      <c r="D73" s="19"/>
      <c r="E73" s="20"/>
      <c r="F73" s="21"/>
      <c r="G73" s="19"/>
      <c r="H73" s="20"/>
      <c r="I73" s="21"/>
      <c r="J73" s="19"/>
      <c r="K73" s="20"/>
      <c r="L73" s="21"/>
      <c r="M73" s="26"/>
      <c r="N73" s="27"/>
      <c r="O73" s="28"/>
      <c r="P73" s="32"/>
      <c r="Q73" s="33"/>
      <c r="R73" s="34"/>
      <c r="S73" s="32"/>
      <c r="T73" s="34"/>
      <c r="U73" s="38"/>
      <c r="V73" s="39"/>
      <c r="W73" s="40"/>
    </row>
    <row r="74" spans="1:23" x14ac:dyDescent="0.25">
      <c r="A74" s="50" t="s">
        <v>2</v>
      </c>
      <c r="B74" s="51"/>
      <c r="C74" s="52"/>
      <c r="D74" s="16">
        <v>32.892000000000003</v>
      </c>
      <c r="E74" s="17"/>
      <c r="F74" s="18"/>
      <c r="G74" s="16">
        <v>45.116999999999997</v>
      </c>
      <c r="H74" s="17"/>
      <c r="I74" s="18"/>
      <c r="J74" s="16">
        <v>12.225</v>
      </c>
      <c r="K74" s="17"/>
      <c r="L74" s="18"/>
      <c r="M74" s="23">
        <v>0.442</v>
      </c>
      <c r="N74" s="24"/>
      <c r="O74" s="25"/>
      <c r="P74" s="29">
        <f>P78/3</f>
        <v>57.653333333333336</v>
      </c>
      <c r="Q74" s="30"/>
      <c r="R74" s="31"/>
      <c r="S74" s="29">
        <f>SUM(S78*M74)</f>
        <v>2824.4772400000002</v>
      </c>
      <c r="T74" s="31"/>
      <c r="U74" s="35">
        <f t="shared" ref="U74" si="2">SUM(S74+P74)</f>
        <v>2882.1305733333334</v>
      </c>
      <c r="V74" s="36"/>
      <c r="W74" s="37"/>
    </row>
    <row r="75" spans="1:23" ht="15.75" thickBot="1" x14ac:dyDescent="0.3">
      <c r="A75" s="53"/>
      <c r="B75" s="54"/>
      <c r="C75" s="55"/>
      <c r="D75" s="19"/>
      <c r="E75" s="20"/>
      <c r="F75" s="21"/>
      <c r="G75" s="19"/>
      <c r="H75" s="20"/>
      <c r="I75" s="21"/>
      <c r="J75" s="19"/>
      <c r="K75" s="20"/>
      <c r="L75" s="21"/>
      <c r="M75" s="26"/>
      <c r="N75" s="27"/>
      <c r="O75" s="28"/>
      <c r="P75" s="32"/>
      <c r="Q75" s="33"/>
      <c r="R75" s="34"/>
      <c r="S75" s="32"/>
      <c r="T75" s="34"/>
      <c r="U75" s="38"/>
      <c r="V75" s="39"/>
      <c r="W75" s="40"/>
    </row>
    <row r="76" spans="1:23" x14ac:dyDescent="0.25">
      <c r="A76" s="50" t="s">
        <v>3</v>
      </c>
      <c r="B76" s="51"/>
      <c r="C76" s="52"/>
      <c r="D76" s="16">
        <v>32.654000000000003</v>
      </c>
      <c r="E76" s="17"/>
      <c r="F76" s="18"/>
      <c r="G76" s="16">
        <v>47.953000000000003</v>
      </c>
      <c r="H76" s="17"/>
      <c r="I76" s="18"/>
      <c r="J76" s="16">
        <v>15.298999999999999</v>
      </c>
      <c r="K76" s="17"/>
      <c r="L76" s="18"/>
      <c r="M76" s="23">
        <v>0.55349999999999999</v>
      </c>
      <c r="N76" s="24"/>
      <c r="O76" s="25"/>
      <c r="P76" s="29">
        <f>P78/3</f>
        <v>57.653333333333336</v>
      </c>
      <c r="Q76" s="30"/>
      <c r="R76" s="31"/>
      <c r="S76" s="29">
        <f>SUM(S78*M76)</f>
        <v>3536.98677</v>
      </c>
      <c r="T76" s="31"/>
      <c r="U76" s="35">
        <f t="shared" ref="U76" si="3">SUM(S76+P76)</f>
        <v>3594.6401033333332</v>
      </c>
      <c r="V76" s="36"/>
      <c r="W76" s="37"/>
    </row>
    <row r="77" spans="1:23" ht="15.75" thickBot="1" x14ac:dyDescent="0.3">
      <c r="A77" s="53"/>
      <c r="B77" s="54"/>
      <c r="C77" s="55"/>
      <c r="D77" s="19"/>
      <c r="E77" s="20"/>
      <c r="F77" s="21"/>
      <c r="G77" s="19"/>
      <c r="H77" s="20"/>
      <c r="I77" s="21"/>
      <c r="J77" s="19"/>
      <c r="K77" s="20"/>
      <c r="L77" s="21"/>
      <c r="M77" s="26"/>
      <c r="N77" s="27"/>
      <c r="O77" s="28"/>
      <c r="P77" s="32"/>
      <c r="Q77" s="33"/>
      <c r="R77" s="34"/>
      <c r="S77" s="32"/>
      <c r="T77" s="34"/>
      <c r="U77" s="38"/>
      <c r="V77" s="39"/>
      <c r="W77" s="40"/>
    </row>
    <row r="78" spans="1:23" ht="15.75" thickBot="1" x14ac:dyDescent="0.3">
      <c r="P78" s="14">
        <v>172.96</v>
      </c>
      <c r="Q78" s="22"/>
      <c r="R78" s="15"/>
      <c r="S78" s="14">
        <f>SUM(F87-P78)</f>
        <v>6390.22</v>
      </c>
      <c r="T78" s="15"/>
      <c r="U78" s="14">
        <f>SUM(U72:W77)</f>
        <v>6563.18</v>
      </c>
      <c r="V78" s="22"/>
      <c r="W78" s="15"/>
    </row>
    <row r="79" spans="1:23" ht="15.75" thickBot="1" x14ac:dyDescent="0.3"/>
    <row r="80" spans="1:23" ht="15.75" thickBot="1" x14ac:dyDescent="0.3">
      <c r="A80" s="41" t="s">
        <v>4</v>
      </c>
      <c r="B80" s="42"/>
      <c r="C80" s="43"/>
      <c r="D80" s="47">
        <v>102.66</v>
      </c>
      <c r="E80" s="48"/>
      <c r="F80" s="49"/>
      <c r="G80" s="47">
        <v>130.30799999999999</v>
      </c>
      <c r="H80" s="48"/>
      <c r="I80" s="49"/>
      <c r="J80" s="47">
        <v>27.648</v>
      </c>
      <c r="K80" s="48"/>
      <c r="L80" s="49"/>
      <c r="M80" s="44">
        <v>1</v>
      </c>
      <c r="N80" s="45"/>
      <c r="O80" s="46"/>
    </row>
    <row r="83" spans="1:7" ht="15.75" thickBot="1" x14ac:dyDescent="0.3"/>
    <row r="84" spans="1:7" ht="15.75" thickBot="1" x14ac:dyDescent="0.3">
      <c r="A84" s="41" t="s">
        <v>26</v>
      </c>
      <c r="B84" s="42"/>
      <c r="C84" s="43"/>
      <c r="F84" s="3">
        <v>4780.68</v>
      </c>
      <c r="G84" s="1" t="s">
        <v>12</v>
      </c>
    </row>
    <row r="85" spans="1:7" ht="15.75" thickBot="1" x14ac:dyDescent="0.3">
      <c r="A85" s="41" t="s">
        <v>27</v>
      </c>
      <c r="B85" s="42"/>
      <c r="C85" s="43"/>
      <c r="F85" s="2">
        <v>1782.5</v>
      </c>
      <c r="G85" s="1" t="s">
        <v>12</v>
      </c>
    </row>
    <row r="86" spans="1:7" ht="15.75" thickBot="1" x14ac:dyDescent="0.3"/>
    <row r="87" spans="1:7" ht="15.75" thickBot="1" x14ac:dyDescent="0.3">
      <c r="A87" s="41" t="s">
        <v>8</v>
      </c>
      <c r="B87" s="42"/>
      <c r="C87" s="43"/>
      <c r="F87" s="4">
        <f>SUM(F84:F85)</f>
        <v>6563.18</v>
      </c>
      <c r="G87" s="1" t="s">
        <v>12</v>
      </c>
    </row>
    <row r="89" spans="1:7" ht="15.75" thickBot="1" x14ac:dyDescent="0.3"/>
    <row r="90" spans="1:7" x14ac:dyDescent="0.25">
      <c r="A90" s="10" t="s">
        <v>28</v>
      </c>
      <c r="B90" s="11"/>
      <c r="C90" s="11"/>
      <c r="D90" s="11"/>
      <c r="E90" s="5"/>
    </row>
    <row r="91" spans="1:7" x14ac:dyDescent="0.25">
      <c r="A91" s="6"/>
      <c r="B91" s="7"/>
      <c r="C91" s="7"/>
      <c r="D91" s="7"/>
      <c r="E91" s="8"/>
    </row>
    <row r="92" spans="1:7" x14ac:dyDescent="0.25">
      <c r="A92" s="6" t="s">
        <v>29</v>
      </c>
      <c r="B92" s="7"/>
      <c r="C92" s="7"/>
      <c r="D92" s="7"/>
      <c r="E92" s="8"/>
    </row>
    <row r="93" spans="1:7" x14ac:dyDescent="0.25">
      <c r="A93" s="6"/>
      <c r="B93" s="7"/>
      <c r="C93" s="7"/>
      <c r="D93" s="7"/>
      <c r="E93" s="8"/>
    </row>
    <row r="94" spans="1:7" ht="15.75" thickBot="1" x14ac:dyDescent="0.3">
      <c r="A94" s="12" t="s">
        <v>30</v>
      </c>
      <c r="B94" s="13"/>
      <c r="C94" s="13"/>
      <c r="D94" s="13"/>
      <c r="E94" s="9"/>
    </row>
  </sheetData>
  <mergeCells count="162">
    <mergeCell ref="A85:C85"/>
    <mergeCell ref="A87:C87"/>
    <mergeCell ref="P78:R78"/>
    <mergeCell ref="S78:T78"/>
    <mergeCell ref="U78:W78"/>
    <mergeCell ref="A80:C80"/>
    <mergeCell ref="D80:F80"/>
    <mergeCell ref="G80:I80"/>
    <mergeCell ref="J80:L80"/>
    <mergeCell ref="M80:O80"/>
    <mergeCell ref="A84:C84"/>
    <mergeCell ref="A74:C75"/>
    <mergeCell ref="D74:F75"/>
    <mergeCell ref="G74:I75"/>
    <mergeCell ref="J74:L75"/>
    <mergeCell ref="M74:O75"/>
    <mergeCell ref="P74:R75"/>
    <mergeCell ref="S74:T75"/>
    <mergeCell ref="U74:W75"/>
    <mergeCell ref="A76:C77"/>
    <mergeCell ref="D76:F77"/>
    <mergeCell ref="G76:I77"/>
    <mergeCell ref="J76:L77"/>
    <mergeCell ref="M76:O77"/>
    <mergeCell ref="P76:R77"/>
    <mergeCell ref="S76:T77"/>
    <mergeCell ref="U76:W77"/>
    <mergeCell ref="A69:G69"/>
    <mergeCell ref="D71:F71"/>
    <mergeCell ref="G71:I71"/>
    <mergeCell ref="J71:L71"/>
    <mergeCell ref="M71:O71"/>
    <mergeCell ref="P71:R71"/>
    <mergeCell ref="S71:T71"/>
    <mergeCell ref="U71:W71"/>
    <mergeCell ref="A72:C73"/>
    <mergeCell ref="D72:F73"/>
    <mergeCell ref="G72:I73"/>
    <mergeCell ref="J72:L73"/>
    <mergeCell ref="M72:O73"/>
    <mergeCell ref="P72:R73"/>
    <mergeCell ref="S72:T73"/>
    <mergeCell ref="U72:W73"/>
    <mergeCell ref="A62:C62"/>
    <mergeCell ref="A63:C63"/>
    <mergeCell ref="A65:C65"/>
    <mergeCell ref="P56:R56"/>
    <mergeCell ref="S56:T56"/>
    <mergeCell ref="U56:W56"/>
    <mergeCell ref="A58:C58"/>
    <mergeCell ref="D58:F58"/>
    <mergeCell ref="G58:I58"/>
    <mergeCell ref="J58:L58"/>
    <mergeCell ref="M58:O58"/>
    <mergeCell ref="S52:T53"/>
    <mergeCell ref="U52:W53"/>
    <mergeCell ref="A54:C55"/>
    <mergeCell ref="D54:F55"/>
    <mergeCell ref="G54:I55"/>
    <mergeCell ref="J54:L55"/>
    <mergeCell ref="M54:O55"/>
    <mergeCell ref="P54:R55"/>
    <mergeCell ref="S54:T55"/>
    <mergeCell ref="U54:W55"/>
    <mergeCell ref="A52:C53"/>
    <mergeCell ref="D52:F53"/>
    <mergeCell ref="G52:I53"/>
    <mergeCell ref="J52:L53"/>
    <mergeCell ref="M52:O53"/>
    <mergeCell ref="A25:G25"/>
    <mergeCell ref="N8:P9"/>
    <mergeCell ref="D10:E11"/>
    <mergeCell ref="P49:R49"/>
    <mergeCell ref="S49:T49"/>
    <mergeCell ref="U49:W49"/>
    <mergeCell ref="A50:C51"/>
    <mergeCell ref="D50:F51"/>
    <mergeCell ref="G50:I51"/>
    <mergeCell ref="J50:L51"/>
    <mergeCell ref="M50:O51"/>
    <mergeCell ref="P50:R51"/>
    <mergeCell ref="S50:T51"/>
    <mergeCell ref="U50:W51"/>
    <mergeCell ref="A3:G3"/>
    <mergeCell ref="A14:C14"/>
    <mergeCell ref="A18:C18"/>
    <mergeCell ref="A6:C7"/>
    <mergeCell ref="A8:C9"/>
    <mergeCell ref="A10:C11"/>
    <mergeCell ref="N5:P5"/>
    <mergeCell ref="D6:E7"/>
    <mergeCell ref="F6:H7"/>
    <mergeCell ref="I6:K7"/>
    <mergeCell ref="L6:M7"/>
    <mergeCell ref="N6:P7"/>
    <mergeCell ref="L5:M5"/>
    <mergeCell ref="D5:E5"/>
    <mergeCell ref="F5:H5"/>
    <mergeCell ref="I5:K5"/>
    <mergeCell ref="F10:H11"/>
    <mergeCell ref="I10:K11"/>
    <mergeCell ref="L10:M11"/>
    <mergeCell ref="N10:P11"/>
    <mergeCell ref="L8:M9"/>
    <mergeCell ref="A19:C19"/>
    <mergeCell ref="A21:C21"/>
    <mergeCell ref="D8:E9"/>
    <mergeCell ref="F8:H9"/>
    <mergeCell ref="I8:K9"/>
    <mergeCell ref="D14:E14"/>
    <mergeCell ref="F14:H14"/>
    <mergeCell ref="I12:K12"/>
    <mergeCell ref="M27:O27"/>
    <mergeCell ref="A30:C31"/>
    <mergeCell ref="U27:W27"/>
    <mergeCell ref="A28:C29"/>
    <mergeCell ref="M28:O29"/>
    <mergeCell ref="P28:R29"/>
    <mergeCell ref="S28:T29"/>
    <mergeCell ref="U28:W29"/>
    <mergeCell ref="A32:C33"/>
    <mergeCell ref="M32:O33"/>
    <mergeCell ref="P32:R33"/>
    <mergeCell ref="S32:T33"/>
    <mergeCell ref="U32:W33"/>
    <mergeCell ref="D32:F33"/>
    <mergeCell ref="G32:I33"/>
    <mergeCell ref="P27:R27"/>
    <mergeCell ref="S27:T27"/>
    <mergeCell ref="D27:F27"/>
    <mergeCell ref="D28:F29"/>
    <mergeCell ref="G27:I27"/>
    <mergeCell ref="G28:I29"/>
    <mergeCell ref="J27:L27"/>
    <mergeCell ref="J28:L29"/>
    <mergeCell ref="D30:F31"/>
    <mergeCell ref="G30:I31"/>
    <mergeCell ref="J30:L31"/>
    <mergeCell ref="A90:D90"/>
    <mergeCell ref="A94:D94"/>
    <mergeCell ref="S34:T34"/>
    <mergeCell ref="J32:L33"/>
    <mergeCell ref="U34:W34"/>
    <mergeCell ref="P34:R34"/>
    <mergeCell ref="M30:O31"/>
    <mergeCell ref="P30:R31"/>
    <mergeCell ref="S30:T31"/>
    <mergeCell ref="U30:W31"/>
    <mergeCell ref="A41:C41"/>
    <mergeCell ref="A43:C43"/>
    <mergeCell ref="A36:C36"/>
    <mergeCell ref="M36:O36"/>
    <mergeCell ref="A40:C40"/>
    <mergeCell ref="D36:F36"/>
    <mergeCell ref="G36:I36"/>
    <mergeCell ref="J36:L36"/>
    <mergeCell ref="A47:G47"/>
    <mergeCell ref="D49:F49"/>
    <mergeCell ref="G49:I49"/>
    <mergeCell ref="J49:L49"/>
    <mergeCell ref="M49:O49"/>
    <mergeCell ref="P52:R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5ACF1BFA910941B64ABA8E55BE16E7" ma:contentTypeVersion="1" ma:contentTypeDescription="Crée un document." ma:contentTypeScope="" ma:versionID="c839aa8ef698296ad7be6a60bcdd3006">
  <xsd:schema xmlns:xsd="http://www.w3.org/2001/XMLSchema" xmlns:xs="http://www.w3.org/2001/XMLSchema" xmlns:p="http://schemas.microsoft.com/office/2006/metadata/properties" xmlns:ns3="39184bca-ce33-4a43-8421-dd62958d0603" targetNamespace="http://schemas.microsoft.com/office/2006/metadata/properties" ma:root="true" ma:fieldsID="3b22044a107979b6e0e32ab059341ff7" ns3:_="">
    <xsd:import namespace="39184bca-ce33-4a43-8421-dd62958d06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184bca-ce33-4a43-8421-dd62958d06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3037D7-EA5E-4F41-A292-A496B6B5A0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DFDCB7-A230-4FC0-ADA6-DED526D8A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184bca-ce33-4a43-8421-dd62958d0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560561-11AC-42B8-A34F-58DB3D8CB192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39184bca-ce33-4a43-8421-dd62958d060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Buirette</dc:creator>
  <cp:lastModifiedBy>Pro-Tech Chauffage Sarl</cp:lastModifiedBy>
  <dcterms:created xsi:type="dcterms:W3CDTF">2022-09-28T13:09:33Z</dcterms:created>
  <dcterms:modified xsi:type="dcterms:W3CDTF">2025-10-21T09:14:12Z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0x010100795ACF1BFA910941B64ABA8E55BE16E7</vt:lpwstr>
  </property>
</Properties>
</file>